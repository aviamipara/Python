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JENG\Avi_D4\"/>
    </mc:Choice>
  </mc:AlternateContent>
  <bookViews>
    <workbookView xWindow="0" yWindow="0" windowWidth="24000" windowHeight="11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F16" i="1"/>
  <c r="E1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2" i="1"/>
  <c r="A16" i="1"/>
  <c r="B16" i="1"/>
</calcChain>
</file>

<file path=xl/sharedStrings.xml><?xml version="1.0" encoding="utf-8"?>
<sst xmlns="http://schemas.openxmlformats.org/spreadsheetml/2006/main" count="8" uniqueCount="8">
  <si>
    <t>x</t>
  </si>
  <si>
    <t>y</t>
  </si>
  <si>
    <t>x-mean(x)</t>
  </si>
  <si>
    <t>y-mean(y)</t>
  </si>
  <si>
    <t>(x-mean(x))*(y-mean(y))</t>
  </si>
  <si>
    <t>(x-mean(x))^2</t>
  </si>
  <si>
    <t>m=1.955752</t>
  </si>
  <si>
    <t>c=17.59925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</si>
</sst>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J30" sqref="J30"/>
    </sheetView>
  </sheetViews>
  <sheetFormatPr defaultRowHeight="15" x14ac:dyDescent="0.25"/>
  <cols>
    <col min="5" max="5" width="27.7109375" customWidth="1"/>
    <col min="6" max="6" width="18.140625" customWidth="1"/>
  </cols>
  <sheetData>
    <row r="1" spans="1:7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>
        <v>15</v>
      </c>
      <c r="B2">
        <v>49</v>
      </c>
      <c r="C2">
        <f>A2-20</f>
        <v>-5</v>
      </c>
      <c r="D2">
        <f>B2-56.71429</f>
        <v>-7.7142899999999983</v>
      </c>
      <c r="E2">
        <f>C2*D2</f>
        <v>38.571449999999992</v>
      </c>
      <c r="F2">
        <f>C2*C2</f>
        <v>25</v>
      </c>
    </row>
    <row r="3" spans="1:7" x14ac:dyDescent="0.25">
      <c r="A3">
        <v>23</v>
      </c>
      <c r="B3">
        <v>63</v>
      </c>
      <c r="C3">
        <f t="shared" ref="C3:C16" si="0">A3-20</f>
        <v>3</v>
      </c>
      <c r="D3">
        <f t="shared" ref="D3:D15" si="1">B3-56.71429</f>
        <v>6.2857100000000017</v>
      </c>
      <c r="E3">
        <f t="shared" ref="E3:E15" si="2">C3*D3</f>
        <v>18.857130000000005</v>
      </c>
      <c r="F3">
        <f t="shared" ref="F3:F15" si="3">C3*C3</f>
        <v>9</v>
      </c>
    </row>
    <row r="4" spans="1:7" x14ac:dyDescent="0.25">
      <c r="A4">
        <v>18</v>
      </c>
      <c r="B4">
        <v>60</v>
      </c>
      <c r="C4">
        <f t="shared" si="0"/>
        <v>-2</v>
      </c>
      <c r="D4">
        <f t="shared" si="1"/>
        <v>3.2857100000000017</v>
      </c>
      <c r="E4">
        <f t="shared" si="2"/>
        <v>-6.5714200000000034</v>
      </c>
      <c r="F4">
        <f t="shared" si="3"/>
        <v>4</v>
      </c>
    </row>
    <row r="5" spans="1:7" x14ac:dyDescent="0.25">
      <c r="A5">
        <v>23</v>
      </c>
      <c r="B5">
        <v>58</v>
      </c>
      <c r="C5">
        <f t="shared" si="0"/>
        <v>3</v>
      </c>
      <c r="D5">
        <f t="shared" si="1"/>
        <v>1.2857100000000017</v>
      </c>
      <c r="E5">
        <f t="shared" si="2"/>
        <v>3.8571300000000051</v>
      </c>
      <c r="F5">
        <f t="shared" si="3"/>
        <v>9</v>
      </c>
    </row>
    <row r="6" spans="1:7" x14ac:dyDescent="0.25">
      <c r="A6">
        <v>24</v>
      </c>
      <c r="B6">
        <v>61</v>
      </c>
      <c r="C6">
        <f t="shared" si="0"/>
        <v>4</v>
      </c>
      <c r="D6">
        <f t="shared" si="1"/>
        <v>4.2857100000000017</v>
      </c>
      <c r="E6">
        <f t="shared" si="2"/>
        <v>17.142840000000007</v>
      </c>
      <c r="F6">
        <f t="shared" si="3"/>
        <v>16</v>
      </c>
    </row>
    <row r="7" spans="1:7" x14ac:dyDescent="0.25">
      <c r="A7">
        <v>22</v>
      </c>
      <c r="B7">
        <v>60</v>
      </c>
      <c r="C7">
        <f t="shared" si="0"/>
        <v>2</v>
      </c>
      <c r="D7">
        <f t="shared" si="1"/>
        <v>3.2857100000000017</v>
      </c>
      <c r="E7">
        <f t="shared" si="2"/>
        <v>6.5714200000000034</v>
      </c>
      <c r="F7">
        <f t="shared" si="3"/>
        <v>4</v>
      </c>
    </row>
    <row r="8" spans="1:7" x14ac:dyDescent="0.25">
      <c r="A8">
        <v>22</v>
      </c>
      <c r="B8">
        <v>63</v>
      </c>
      <c r="C8">
        <f t="shared" si="0"/>
        <v>2</v>
      </c>
      <c r="D8">
        <f t="shared" si="1"/>
        <v>6.2857100000000017</v>
      </c>
      <c r="E8">
        <f t="shared" si="2"/>
        <v>12.571420000000003</v>
      </c>
      <c r="F8">
        <f t="shared" si="3"/>
        <v>4</v>
      </c>
    </row>
    <row r="9" spans="1:7" x14ac:dyDescent="0.25">
      <c r="A9">
        <v>19</v>
      </c>
      <c r="B9">
        <v>60</v>
      </c>
      <c r="C9">
        <f t="shared" si="0"/>
        <v>-1</v>
      </c>
      <c r="D9">
        <f t="shared" si="1"/>
        <v>3.2857100000000017</v>
      </c>
      <c r="E9">
        <f t="shared" si="2"/>
        <v>-3.2857100000000017</v>
      </c>
      <c r="F9">
        <f t="shared" si="3"/>
        <v>1</v>
      </c>
    </row>
    <row r="10" spans="1:7" x14ac:dyDescent="0.25">
      <c r="A10">
        <v>16</v>
      </c>
      <c r="B10">
        <v>52</v>
      </c>
      <c r="C10">
        <f t="shared" si="0"/>
        <v>-4</v>
      </c>
      <c r="D10">
        <f t="shared" si="1"/>
        <v>-4.7142899999999983</v>
      </c>
      <c r="E10">
        <f t="shared" si="2"/>
        <v>18.857159999999993</v>
      </c>
      <c r="F10">
        <f t="shared" si="3"/>
        <v>16</v>
      </c>
    </row>
    <row r="11" spans="1:7" x14ac:dyDescent="0.25">
      <c r="A11">
        <v>24</v>
      </c>
      <c r="B11">
        <v>62</v>
      </c>
      <c r="C11">
        <f t="shared" si="0"/>
        <v>4</v>
      </c>
      <c r="D11">
        <f t="shared" si="1"/>
        <v>5.2857100000000017</v>
      </c>
      <c r="E11">
        <f t="shared" si="2"/>
        <v>21.142840000000007</v>
      </c>
      <c r="F11">
        <f t="shared" si="3"/>
        <v>16</v>
      </c>
    </row>
    <row r="12" spans="1:7" x14ac:dyDescent="0.25">
      <c r="A12">
        <v>11</v>
      </c>
      <c r="B12">
        <v>30</v>
      </c>
      <c r="C12">
        <f t="shared" si="0"/>
        <v>-9</v>
      </c>
      <c r="D12">
        <f t="shared" si="1"/>
        <v>-26.714289999999998</v>
      </c>
      <c r="E12">
        <f t="shared" si="2"/>
        <v>240.42860999999999</v>
      </c>
      <c r="F12">
        <f t="shared" si="3"/>
        <v>81</v>
      </c>
    </row>
    <row r="13" spans="1:7" x14ac:dyDescent="0.25">
      <c r="A13">
        <v>24</v>
      </c>
      <c r="B13">
        <v>59</v>
      </c>
      <c r="C13">
        <f t="shared" si="0"/>
        <v>4</v>
      </c>
      <c r="D13">
        <f t="shared" si="1"/>
        <v>2.2857100000000017</v>
      </c>
      <c r="E13">
        <f t="shared" si="2"/>
        <v>9.1428400000000067</v>
      </c>
      <c r="F13">
        <f t="shared" si="3"/>
        <v>16</v>
      </c>
    </row>
    <row r="14" spans="1:7" x14ac:dyDescent="0.25">
      <c r="A14">
        <v>16</v>
      </c>
      <c r="B14">
        <v>49</v>
      </c>
      <c r="C14">
        <f t="shared" si="0"/>
        <v>-4</v>
      </c>
      <c r="D14">
        <f t="shared" si="1"/>
        <v>-7.7142899999999983</v>
      </c>
      <c r="E14">
        <f t="shared" si="2"/>
        <v>30.857159999999993</v>
      </c>
      <c r="F14">
        <f t="shared" si="3"/>
        <v>16</v>
      </c>
    </row>
    <row r="15" spans="1:7" x14ac:dyDescent="0.25">
      <c r="A15">
        <v>23</v>
      </c>
      <c r="B15">
        <v>68</v>
      </c>
      <c r="C15">
        <f t="shared" si="0"/>
        <v>3</v>
      </c>
      <c r="D15">
        <f t="shared" si="1"/>
        <v>11.285710000000002</v>
      </c>
      <c r="E15">
        <f t="shared" si="2"/>
        <v>33.857130000000005</v>
      </c>
      <c r="F15">
        <f t="shared" si="3"/>
        <v>9</v>
      </c>
    </row>
    <row r="16" spans="1:7" x14ac:dyDescent="0.25">
      <c r="A16">
        <f>AVERAGE(A2:A15)</f>
        <v>20</v>
      </c>
      <c r="B16">
        <f>AVERAGE(B2:B15)</f>
        <v>56.714285714285715</v>
      </c>
      <c r="E16">
        <f>SUM(E2:E15)</f>
        <v>442</v>
      </c>
      <c r="F16">
        <f>SUM(F2:F15)</f>
        <v>226</v>
      </c>
      <c r="G16">
        <f>E16/F16</f>
        <v>1.9557522123893805</v>
      </c>
    </row>
    <row r="20" spans="5:6" x14ac:dyDescent="0.25">
      <c r="E20" s="1"/>
      <c r="F20" s="1"/>
    </row>
    <row r="21" spans="5:6" x14ac:dyDescent="0.25">
      <c r="E21" s="1"/>
      <c r="F21" s="1"/>
    </row>
    <row r="22" spans="5:6" x14ac:dyDescent="0.25">
      <c r="E22" s="1"/>
      <c r="F22" s="1"/>
    </row>
    <row r="23" spans="5:6" x14ac:dyDescent="0.25">
      <c r="E23" s="1"/>
      <c r="F23" s="1"/>
    </row>
    <row r="24" spans="5:6" x14ac:dyDescent="0.25">
      <c r="E24" t="s">
        <v>7</v>
      </c>
    </row>
    <row r="25" spans="5:6" x14ac:dyDescent="0.25">
      <c r="E25" t="s">
        <v>6</v>
      </c>
    </row>
  </sheetData>
  <mergeCells count="1">
    <mergeCell ref="E20:F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2026-04-11T03:49:59Z</dcterms:created>
  <dcterms:modified xsi:type="dcterms:W3CDTF">2026-04-11T04:17:02Z</dcterms:modified>
</cp:coreProperties>
</file>